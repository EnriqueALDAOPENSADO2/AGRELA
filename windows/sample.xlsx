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MAD0EPF00000158\EXCELCNV\b37e58ba-6105-4b18-a0f3-de0469f9d017\"/>
    </mc:Choice>
  </mc:AlternateContent>
  <xr:revisionPtr revIDLastSave="0" documentId="8_{9C320626-D0FA-42D2-9ED8-23626F14E50F}" xr6:coauthVersionLast="47" xr6:coauthVersionMax="47" xr10:uidLastSave="{00000000-0000-0000-0000-000000000000}"/>
  <bookViews>
    <workbookView showSheetTabs="0" xWindow="-60" yWindow="-60" windowWidth="15480" windowHeight="11640" xr2:uid="{F7981C2D-B4D2-40CD-B725-1F887010E950}"/>
  </bookViews>
  <sheets>
    <sheet name="Hoja1" sheetId="1" r:id="rId1"/>
    <sheet name="Hoja2" sheetId="2" r:id="rId2"/>
    <sheet name="Hoja3" sheetId="3" r:id="rId3"/>
  </sheets>
  <definedNames>
    <definedName name="_xlnm.Print_Area" localSheetId="0">Hoja1!$B$2:$J$46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I14" i="1"/>
  <c r="J14" i="1"/>
  <c r="J13" i="1"/>
  <c r="I38" i="1"/>
  <c r="J38" i="1"/>
  <c r="I37" i="1"/>
  <c r="J37" i="1"/>
  <c r="I36" i="1"/>
  <c r="J36" i="1"/>
  <c r="I35" i="1"/>
  <c r="J35" i="1"/>
  <c r="I34" i="1"/>
  <c r="J34" i="1"/>
  <c r="I33" i="1"/>
  <c r="J33" i="1"/>
  <c r="I32" i="1"/>
  <c r="J32" i="1"/>
  <c r="I31" i="1"/>
  <c r="J31" i="1"/>
  <c r="I30" i="1"/>
  <c r="J30" i="1"/>
  <c r="I29" i="1"/>
  <c r="J29" i="1"/>
  <c r="I28" i="1"/>
  <c r="J28" i="1"/>
  <c r="I27" i="1"/>
  <c r="J27" i="1"/>
  <c r="I26" i="1"/>
  <c r="J26" i="1"/>
  <c r="I25" i="1"/>
  <c r="J25" i="1"/>
  <c r="I24" i="1"/>
  <c r="J24" i="1"/>
  <c r="I23" i="1"/>
  <c r="J23" i="1"/>
  <c r="I22" i="1"/>
  <c r="J22" i="1"/>
  <c r="I21" i="1"/>
  <c r="J21" i="1"/>
  <c r="I20" i="1"/>
  <c r="J20" i="1"/>
  <c r="I19" i="1"/>
  <c r="J19" i="1"/>
  <c r="I18" i="1"/>
  <c r="J18" i="1"/>
  <c r="I17" i="1"/>
  <c r="J17" i="1"/>
  <c r="I16" i="1"/>
  <c r="J16" i="1"/>
  <c r="J39" i="1"/>
  <c r="J42" i="1"/>
  <c r="J43" i="1"/>
</calcChain>
</file>

<file path=xl/sharedStrings.xml><?xml version="1.0" encoding="utf-8"?>
<sst xmlns="http://schemas.openxmlformats.org/spreadsheetml/2006/main" count="35" uniqueCount="35">
  <si>
    <t>FACTURA</t>
  </si>
  <si>
    <t>DATOS DEL CLIENTE</t>
  </si>
  <si>
    <t xml:space="preserve">             Juan Manuel Aldao López</t>
  </si>
  <si>
    <t xml:space="preserve">        C/ Gutemberg Nº 44-A</t>
  </si>
  <si>
    <t>Nombre</t>
  </si>
  <si>
    <t>JAVIER LODEIROS MEJIDE</t>
  </si>
  <si>
    <t xml:space="preserve">        Polígono A Grela</t>
  </si>
  <si>
    <t>Dirección</t>
  </si>
  <si>
    <t>C / PEÑA OUBIÑA Nº 23 C</t>
  </si>
  <si>
    <t xml:space="preserve">        C.P. 15008</t>
  </si>
  <si>
    <t>Población</t>
  </si>
  <si>
    <t>CAMBRE  C.P. 15 660</t>
  </si>
  <si>
    <t xml:space="preserve">        A Coruña</t>
  </si>
  <si>
    <t>Provincia</t>
  </si>
  <si>
    <t>A CORUÑA</t>
  </si>
  <si>
    <t xml:space="preserve">        D.N.I. 52434449-S</t>
  </si>
  <si>
    <t>CIF/NIF</t>
  </si>
  <si>
    <t>32 785 180 - Z</t>
  </si>
  <si>
    <t>Factura</t>
  </si>
  <si>
    <t>Nº 1</t>
  </si>
  <si>
    <t>Fecha</t>
  </si>
  <si>
    <t>DESCRIPCION</t>
  </si>
  <si>
    <t>Uds.</t>
  </si>
  <si>
    <t>PRECIO</t>
  </si>
  <si>
    <t>ANCHO</t>
  </si>
  <si>
    <t>ALTO</t>
  </si>
  <si>
    <t>M²</t>
  </si>
  <si>
    <t>TOTAL</t>
  </si>
  <si>
    <t>MOTOR GAVIOTA GS 20 /15</t>
  </si>
  <si>
    <t>EJE OCTOGONAL 60 X 0,4</t>
  </si>
  <si>
    <t>TOTAL BRUTO</t>
  </si>
  <si>
    <t>FORMA DE PAGO……..</t>
  </si>
  <si>
    <t>TPV</t>
  </si>
  <si>
    <t>I.V.A.</t>
  </si>
  <si>
    <t>TOTAL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</si>
</sst>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1];\-#,##0.00\ [$€-1]"/>
    <numFmt numFmtId="165" formatCode="_-* #,##0.00\ [$€-1]_-;\-* #,##0.00\ [$€-1]_-;_-* &quot;-&quot;??\ [$€-1]_-"/>
    <numFmt numFmtId="166" formatCode="dd\-mm\-yy;@"/>
  </numFmts>
  <fonts count="23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28"/>
      <color indexed="30"/>
      <name val="Arial"/>
      <family val="2"/>
    </font>
    <font>
      <b/>
      <i/>
      <sz val="16"/>
      <color indexed="60"/>
      <name val="Arial"/>
      <family val="2"/>
    </font>
    <font>
      <b/>
      <i/>
      <sz val="12"/>
      <name val="Arial"/>
      <family val="2"/>
    </font>
    <font>
      <b/>
      <i/>
      <sz val="11"/>
      <name val="Arial"/>
      <family val="2"/>
    </font>
    <font>
      <b/>
      <i/>
      <sz val="16"/>
      <name val="Arial"/>
      <family val="2"/>
    </font>
    <font>
      <b/>
      <i/>
      <sz val="14"/>
      <name val="Arial"/>
      <family val="2"/>
    </font>
    <font>
      <i/>
      <sz val="16"/>
      <name val="Arial"/>
      <family val="2"/>
    </font>
    <font>
      <i/>
      <sz val="18"/>
      <name val="Arial"/>
      <family val="2"/>
    </font>
    <font>
      <b/>
      <i/>
      <sz val="18"/>
      <name val="Arial"/>
      <family val="2"/>
    </font>
    <font>
      <i/>
      <sz val="12"/>
      <name val="Arial"/>
      <family val="2"/>
    </font>
    <font>
      <i/>
      <sz val="12"/>
      <color indexed="61"/>
      <name val="Arial"/>
      <family val="2"/>
    </font>
    <font>
      <b/>
      <i/>
      <sz val="16"/>
      <color indexed="8"/>
      <name val="Arial"/>
      <family val="2"/>
    </font>
    <font>
      <i/>
      <sz val="12"/>
      <color indexed="6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8"/>
      <color indexed="60"/>
      <name val="Arial"/>
      <family val="2"/>
    </font>
    <font>
      <b/>
      <i/>
      <sz val="20"/>
      <color theme="9" tint="-0.499984740745262"/>
      <name val="Arial"/>
      <family val="2"/>
    </font>
    <font>
      <b/>
      <i/>
      <sz val="36"/>
      <color theme="5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 applyProtection="1"/>
    <xf numFmtId="0" fontId="0" fillId="0" borderId="0" xfId="0" applyBorder="1" applyProtection="1"/>
    <xf numFmtId="166" fontId="3" fillId="0" borderId="0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Protection="1"/>
    <xf numFmtId="0" fontId="3" fillId="0" borderId="0" xfId="0" applyFont="1"/>
    <xf numFmtId="0" fontId="2" fillId="0" borderId="0" xfId="0" applyFont="1"/>
    <xf numFmtId="0" fontId="4" fillId="0" borderId="0" xfId="0" applyFont="1"/>
    <xf numFmtId="0" fontId="7" fillId="0" borderId="2" xfId="0" applyFont="1" applyBorder="1" applyAlignment="1" applyProtection="1">
      <alignment horizontal="center" wrapText="1"/>
      <protection locked="0"/>
    </xf>
    <xf numFmtId="0" fontId="8" fillId="0" borderId="0" xfId="0" applyFont="1" applyBorder="1" applyAlignment="1" applyProtection="1">
      <alignment horizontal="left" wrapText="1" indent="1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protection locked="0"/>
    </xf>
    <xf numFmtId="0" fontId="9" fillId="0" borderId="4" xfId="0" applyFont="1" applyFill="1" applyBorder="1" applyAlignment="1" applyProtection="1">
      <alignment horizontal="center" vertical="center" wrapText="1"/>
      <protection locked="0"/>
    </xf>
    <xf numFmtId="14" fontId="9" fillId="0" borderId="4" xfId="0" applyNumberFormat="1" applyFont="1" applyFill="1" applyBorder="1" applyAlignment="1" applyProtection="1">
      <alignment horizontal="center" vertical="center"/>
      <protection locked="0"/>
    </xf>
    <xf numFmtId="14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left" indent="1"/>
      <protection locked="0"/>
    </xf>
    <xf numFmtId="0" fontId="9" fillId="0" borderId="4" xfId="0" applyFont="1" applyBorder="1" applyAlignment="1" applyProtection="1">
      <alignment horizontal="left" indent="1"/>
      <protection locked="0"/>
    </xf>
    <xf numFmtId="0" fontId="9" fillId="0" borderId="7" xfId="0" applyFont="1" applyBorder="1" applyAlignment="1" applyProtection="1">
      <alignment horizontal="left" indent="1"/>
      <protection locked="0"/>
    </xf>
    <xf numFmtId="0" fontId="9" fillId="0" borderId="8" xfId="0" applyFont="1" applyFill="1" applyBorder="1" applyAlignment="1" applyProtection="1">
      <alignment horizontal="center" vertical="center"/>
    </xf>
    <xf numFmtId="1" fontId="9" fillId="0" borderId="9" xfId="0" applyNumberFormat="1" applyFont="1" applyBorder="1" applyAlignment="1" applyProtection="1">
      <alignment horizontal="left" vertical="center" wrapText="1"/>
      <protection locked="0"/>
    </xf>
    <xf numFmtId="0" fontId="9" fillId="0" borderId="9" xfId="0" applyNumberFormat="1" applyFont="1" applyBorder="1" applyAlignment="1" applyProtection="1">
      <alignment horizontal="left" vertical="center" wrapText="1"/>
      <protection locked="0"/>
    </xf>
    <xf numFmtId="14" fontId="10" fillId="0" borderId="9" xfId="0" applyNumberFormat="1" applyFont="1" applyBorder="1" applyAlignment="1" applyProtection="1">
      <alignment horizontal="left" vertical="center" wrapText="1"/>
      <protection locked="0"/>
    </xf>
    <xf numFmtId="0" fontId="9" fillId="0" borderId="9" xfId="0" applyFont="1" applyBorder="1" applyAlignment="1" applyProtection="1">
      <alignment horizontal="left" vertical="center" wrapText="1"/>
      <protection locked="0"/>
    </xf>
    <xf numFmtId="14" fontId="9" fillId="0" borderId="10" xfId="0" applyNumberFormat="1" applyFont="1" applyFill="1" applyBorder="1" applyAlignment="1" applyProtection="1">
      <alignment horizontal="left" vertical="center" indent="1"/>
      <protection locked="0"/>
    </xf>
    <xf numFmtId="0" fontId="11" fillId="0" borderId="11" xfId="0" applyNumberFormat="1" applyFont="1" applyBorder="1" applyAlignment="1" applyProtection="1">
      <alignment horizontal="left" indent="1"/>
      <protection locked="0"/>
    </xf>
    <xf numFmtId="0" fontId="6" fillId="0" borderId="12" xfId="0" applyFont="1" applyFill="1" applyBorder="1" applyAlignment="1" applyProtection="1">
      <alignment horizontal="center" vertical="center"/>
    </xf>
    <xf numFmtId="0" fontId="6" fillId="0" borderId="13" xfId="0" applyFont="1" applyFill="1" applyBorder="1" applyAlignment="1" applyProtection="1">
      <alignment horizontal="center" vertical="center"/>
    </xf>
    <xf numFmtId="0" fontId="6" fillId="0" borderId="14" xfId="0" applyNumberFormat="1" applyFont="1" applyBorder="1" applyAlignment="1" applyProtection="1">
      <alignment vertical="center"/>
      <protection locked="0"/>
    </xf>
    <xf numFmtId="0" fontId="6" fillId="0" borderId="14" xfId="0" applyFont="1" applyFill="1" applyBorder="1" applyAlignment="1" applyProtection="1">
      <alignment horizontal="center" vertical="center"/>
    </xf>
    <xf numFmtId="0" fontId="6" fillId="0" borderId="15" xfId="0" applyFont="1" applyFill="1" applyBorder="1" applyAlignment="1" applyProtection="1">
      <alignment horizontal="center" vertical="center"/>
    </xf>
    <xf numFmtId="0" fontId="6" fillId="0" borderId="16" xfId="0" applyFont="1" applyFill="1" applyBorder="1" applyAlignment="1" applyProtection="1">
      <alignment horizontal="center" vertical="center"/>
    </xf>
    <xf numFmtId="0" fontId="12" fillId="0" borderId="17" xfId="0" applyNumberFormat="1" applyFont="1" applyBorder="1" applyAlignment="1" applyProtection="1">
      <alignment horizontal="left" indent="1"/>
      <protection locked="0"/>
    </xf>
    <xf numFmtId="0" fontId="12" fillId="0" borderId="18" xfId="0" applyNumberFormat="1" applyFont="1" applyBorder="1" applyAlignment="1" applyProtection="1">
      <alignment horizontal="left" indent="1"/>
      <protection locked="0"/>
    </xf>
    <xf numFmtId="0" fontId="12" fillId="0" borderId="19" xfId="0" applyNumberFormat="1" applyFont="1" applyBorder="1" applyAlignment="1" applyProtection="1">
      <alignment horizontal="left" indent="1"/>
      <protection locked="0"/>
    </xf>
    <xf numFmtId="3" fontId="12" fillId="0" borderId="20" xfId="0" applyNumberFormat="1" applyFont="1" applyBorder="1" applyAlignment="1" applyProtection="1">
      <protection locked="0"/>
    </xf>
    <xf numFmtId="4" fontId="12" fillId="0" borderId="20" xfId="0" applyNumberFormat="1" applyFont="1" applyBorder="1" applyAlignment="1" applyProtection="1">
      <protection locked="0"/>
    </xf>
    <xf numFmtId="1" fontId="12" fillId="0" borderId="20" xfId="0" applyNumberFormat="1" applyFont="1" applyBorder="1" applyAlignment="1" applyProtection="1">
      <alignment horizontal="center"/>
      <protection locked="0"/>
    </xf>
    <xf numFmtId="4" fontId="12" fillId="0" borderId="21" xfId="0" applyNumberFormat="1" applyFont="1" applyBorder="1" applyAlignment="1" applyProtection="1">
      <protection locked="0"/>
    </xf>
    <xf numFmtId="0" fontId="12" fillId="0" borderId="22" xfId="0" applyNumberFormat="1" applyFont="1" applyBorder="1" applyAlignment="1" applyProtection="1">
      <alignment horizontal="left" indent="1"/>
      <protection locked="0"/>
    </xf>
    <xf numFmtId="3" fontId="12" fillId="0" borderId="23" xfId="0" applyNumberFormat="1" applyFont="1" applyBorder="1" applyAlignment="1" applyProtection="1">
      <protection locked="0"/>
    </xf>
    <xf numFmtId="0" fontId="12" fillId="0" borderId="24" xfId="0" applyFont="1" applyBorder="1" applyProtection="1"/>
    <xf numFmtId="0" fontId="12" fillId="0" borderId="25" xfId="0" applyNumberFormat="1" applyFont="1" applyBorder="1" applyAlignment="1" applyProtection="1">
      <alignment horizontal="left" indent="1"/>
      <protection locked="0"/>
    </xf>
    <xf numFmtId="0" fontId="12" fillId="0" borderId="26" xfId="0" applyNumberFormat="1" applyFont="1" applyBorder="1" applyAlignment="1" applyProtection="1">
      <alignment horizontal="left" indent="1"/>
      <protection locked="0"/>
    </xf>
    <xf numFmtId="3" fontId="12" fillId="0" borderId="27" xfId="0" applyNumberFormat="1" applyFont="1" applyBorder="1" applyProtection="1"/>
    <xf numFmtId="4" fontId="12" fillId="0" borderId="28" xfId="0" applyNumberFormat="1" applyFont="1" applyBorder="1" applyAlignment="1" applyProtection="1">
      <protection locked="0"/>
    </xf>
    <xf numFmtId="1" fontId="12" fillId="0" borderId="23" xfId="0" applyNumberFormat="1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right" indent="1"/>
    </xf>
    <xf numFmtId="0" fontId="10" fillId="0" borderId="29" xfId="0" applyFont="1" applyBorder="1" applyProtection="1"/>
    <xf numFmtId="0" fontId="14" fillId="0" borderId="29" xfId="0" applyFont="1" applyBorder="1" applyProtection="1"/>
    <xf numFmtId="0" fontId="14" fillId="0" borderId="0" xfId="0" applyFont="1" applyBorder="1" applyProtection="1"/>
    <xf numFmtId="0" fontId="9" fillId="0" borderId="29" xfId="0" applyFont="1" applyBorder="1" applyProtection="1"/>
    <xf numFmtId="0" fontId="9" fillId="0" borderId="30" xfId="0" applyFont="1" applyBorder="1" applyProtection="1"/>
    <xf numFmtId="0" fontId="9" fillId="0" borderId="31" xfId="0" applyFont="1" applyBorder="1" applyProtection="1"/>
    <xf numFmtId="0" fontId="9" fillId="0" borderId="32" xfId="0" applyFont="1" applyBorder="1" applyProtection="1"/>
    <xf numFmtId="2" fontId="9" fillId="0" borderId="33" xfId="0" applyNumberFormat="1" applyFont="1" applyBorder="1" applyAlignment="1" applyProtection="1">
      <alignment horizontal="center" vertical="center"/>
    </xf>
    <xf numFmtId="0" fontId="9" fillId="0" borderId="0" xfId="0" applyFont="1" applyBorder="1" applyProtection="1"/>
    <xf numFmtId="0" fontId="9" fillId="0" borderId="3" xfId="0" applyFont="1" applyBorder="1" applyProtection="1"/>
    <xf numFmtId="0" fontId="14" fillId="0" borderId="0" xfId="0" applyFont="1" applyBorder="1" applyAlignment="1"/>
    <xf numFmtId="0" fontId="15" fillId="0" borderId="2" xfId="0" applyFont="1" applyFill="1" applyBorder="1" applyAlignment="1" applyProtection="1">
      <alignment horizontal="center" vertical="center" wrapText="1"/>
    </xf>
    <xf numFmtId="49" fontId="7" fillId="0" borderId="0" xfId="0" applyNumberFormat="1" applyFont="1" applyBorder="1" applyAlignment="1" applyProtection="1">
      <alignment horizontal="center" vertical="center" wrapText="1"/>
      <protection locked="0"/>
    </xf>
    <xf numFmtId="2" fontId="16" fillId="0" borderId="33" xfId="0" applyNumberFormat="1" applyFont="1" applyBorder="1" applyAlignment="1" applyProtection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164" fontId="9" fillId="0" borderId="33" xfId="1" applyNumberFormat="1" applyFont="1" applyFill="1" applyBorder="1" applyAlignment="1" applyProtection="1">
      <alignment horizontal="right" indent="1"/>
    </xf>
    <xf numFmtId="0" fontId="14" fillId="0" borderId="2" xfId="0" applyFont="1" applyBorder="1" applyAlignment="1" applyProtection="1">
      <alignment horizontal="center"/>
      <protection locked="0"/>
    </xf>
    <xf numFmtId="0" fontId="15" fillId="0" borderId="0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/>
      <protection locked="0"/>
    </xf>
    <xf numFmtId="49" fontId="9" fillId="0" borderId="0" xfId="0" applyNumberFormat="1" applyFont="1" applyBorder="1" applyAlignment="1" applyProtection="1">
      <alignment horizontal="center" vertical="center" wrapText="1"/>
      <protection locked="0"/>
    </xf>
    <xf numFmtId="49" fontId="9" fillId="0" borderId="3" xfId="0" applyNumberFormat="1" applyFont="1" applyBorder="1" applyAlignment="1" applyProtection="1">
      <alignment horizontal="center" vertical="center" wrapText="1"/>
      <protection locked="0"/>
    </xf>
    <xf numFmtId="0" fontId="14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 applyProtection="1">
      <alignment horizontal="center"/>
    </xf>
    <xf numFmtId="0" fontId="7" fillId="0" borderId="3" xfId="0" applyFont="1" applyFill="1" applyBorder="1" applyAlignment="1" applyProtection="1">
      <alignment horizontal="center"/>
    </xf>
    <xf numFmtId="0" fontId="7" fillId="0" borderId="34" xfId="0" applyFont="1" applyBorder="1" applyAlignment="1" applyProtection="1">
      <alignment horizontal="center"/>
      <protection locked="0"/>
    </xf>
    <xf numFmtId="0" fontId="14" fillId="0" borderId="35" xfId="0" applyFont="1" applyBorder="1" applyAlignment="1" applyProtection="1">
      <alignment horizontal="center"/>
      <protection locked="0"/>
    </xf>
    <xf numFmtId="166" fontId="18" fillId="0" borderId="35" xfId="0" applyNumberFormat="1" applyFont="1" applyBorder="1" applyAlignment="1" applyProtection="1">
      <alignment horizontal="center" vertical="center"/>
      <protection locked="0"/>
    </xf>
    <xf numFmtId="0" fontId="17" fillId="0" borderId="35" xfId="0" applyFont="1" applyBorder="1" applyAlignment="1" applyProtection="1">
      <alignment horizontal="center"/>
      <protection locked="0"/>
    </xf>
    <xf numFmtId="0" fontId="17" fillId="0" borderId="36" xfId="0" applyFont="1" applyBorder="1" applyAlignment="1" applyProtection="1">
      <alignment horizontal="center"/>
      <protection locked="0"/>
    </xf>
    <xf numFmtId="0" fontId="19" fillId="0" borderId="0" xfId="0" applyFont="1" applyProtection="1"/>
    <xf numFmtId="0" fontId="19" fillId="0" borderId="0" xfId="0" applyFont="1" applyBorder="1" applyAlignment="1" applyProtection="1">
      <alignment horizontal="center"/>
      <protection locked="0"/>
    </xf>
    <xf numFmtId="166" fontId="18" fillId="0" borderId="0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center"/>
      <protection locked="0"/>
    </xf>
    <xf numFmtId="4" fontId="12" fillId="0" borderId="37" xfId="0" applyNumberFormat="1" applyFont="1" applyBorder="1" applyProtection="1"/>
    <xf numFmtId="14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1" fillId="0" borderId="30" xfId="0" applyFont="1" applyBorder="1" applyAlignment="1" applyProtection="1">
      <alignment horizontal="center" vertical="center"/>
    </xf>
    <xf numFmtId="9" fontId="21" fillId="0" borderId="31" xfId="0" applyNumberFormat="1" applyFont="1" applyBorder="1" applyAlignment="1" applyProtection="1">
      <alignment horizontal="center" vertical="center"/>
    </xf>
    <xf numFmtId="0" fontId="21" fillId="0" borderId="31" xfId="0" applyFont="1" applyBorder="1" applyAlignment="1" applyProtection="1">
      <alignment horizontal="center" vertical="center"/>
    </xf>
    <xf numFmtId="0" fontId="21" fillId="0" borderId="32" xfId="0" applyFont="1" applyBorder="1" applyAlignment="1" applyProtection="1">
      <alignment horizontal="center" vertical="center"/>
    </xf>
    <xf numFmtId="0" fontId="21" fillId="0" borderId="30" xfId="0" applyFont="1" applyFill="1" applyBorder="1" applyAlignment="1"/>
    <xf numFmtId="0" fontId="21" fillId="0" borderId="31" xfId="0" applyFont="1" applyFill="1" applyBorder="1" applyAlignment="1" applyProtection="1">
      <alignment horizontal="center" wrapText="1"/>
    </xf>
    <xf numFmtId="0" fontId="21" fillId="0" borderId="31" xfId="0" applyFont="1" applyFill="1" applyBorder="1" applyAlignment="1"/>
    <xf numFmtId="0" fontId="21" fillId="0" borderId="32" xfId="0" applyFont="1" applyFill="1" applyBorder="1" applyAlignment="1"/>
    <xf numFmtId="0" fontId="5" fillId="0" borderId="2" xfId="0" applyFont="1" applyBorder="1" applyAlignment="1" applyProtection="1">
      <alignment horizontal="left" wrapText="1" indent="3"/>
      <protection locked="0"/>
    </xf>
    <xf numFmtId="0" fontId="10" fillId="0" borderId="2" xfId="0" applyFont="1" applyBorder="1" applyAlignment="1" applyProtection="1">
      <alignment horizontal="right" indent="1"/>
    </xf>
    <xf numFmtId="0" fontId="10" fillId="0" borderId="0" xfId="0" applyFont="1" applyBorder="1" applyProtection="1"/>
    <xf numFmtId="0" fontId="10" fillId="0" borderId="2" xfId="0" applyFont="1" applyBorder="1" applyAlignment="1" applyProtection="1">
      <alignment horizontal="right"/>
    </xf>
    <xf numFmtId="0" fontId="9" fillId="0" borderId="0" xfId="0" applyFont="1" applyBorder="1" applyAlignment="1" applyProtection="1">
      <alignment horizontal="left" wrapText="1" indent="1"/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22" fillId="0" borderId="38" xfId="0" applyFont="1" applyFill="1" applyBorder="1" applyAlignment="1" applyProtection="1">
      <alignment horizontal="center"/>
      <protection locked="0"/>
    </xf>
    <xf numFmtId="0" fontId="22" fillId="0" borderId="39" xfId="0" applyFont="1" applyFill="1" applyBorder="1" applyAlignment="1" applyProtection="1">
      <alignment horizontal="center"/>
      <protection locked="0"/>
    </xf>
    <xf numFmtId="0" fontId="22" fillId="0" borderId="40" xfId="0" applyFont="1" applyFill="1" applyBorder="1" applyAlignment="1" applyProtection="1">
      <alignment horizontal="center"/>
      <protection locked="0"/>
    </xf>
    <xf numFmtId="0" fontId="22" fillId="0" borderId="41" xfId="0" applyFont="1" applyFill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left" wrapText="1" inden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left" wrapText="1" indent="1"/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9" fillId="0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left" indent="1"/>
      <protection locked="0"/>
    </xf>
  </cellXfs>
  <cellStyles count="2">
    <cellStyle name="Euro" xfId="1" xr:uid="{DA8A2626-1CD6-4D2A-AFA0-22E64BABB129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914400</xdr:colOff>
      <xdr:row>3</xdr:row>
      <xdr:rowOff>142875</xdr:rowOff>
    </xdr:to>
    <xdr:pic>
      <xdr:nvPicPr>
        <xdr:cNvPr id="1034" name="Imagen 1">
          <a:extLst>
            <a:ext uri="{FF2B5EF4-FFF2-40B4-BE49-F238E27FC236}">
              <a16:creationId xmlns:a16="http://schemas.microsoft.com/office/drawing/2014/main" id="{F226E561-CC20-4F02-BC8F-8C1094C6C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85750"/>
          <a:ext cx="356235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AA41-01B0-4F65-A390-F50E23959842}">
  <sheetPr>
    <pageSetUpPr fitToPage="1"/>
  </sheetPr>
  <dimension ref="A1:Q50"/>
  <sheetViews>
    <sheetView showGridLines="0" showRowColHeaders="0" showZeros="0" tabSelected="1" showOutlineSymbols="0" zoomScale="70" zoomScaleNormal="70" workbookViewId="0">
      <selection activeCell="C36" sqref="C36"/>
    </sheetView>
  </sheetViews>
  <sheetFormatPr defaultColWidth="8.7109375" defaultRowHeight="12.75"/>
  <cols>
    <col min="1" max="1" width="3.7109375" style="1" customWidth="1"/>
    <col min="2" max="2" width="40.7109375" style="1" customWidth="1"/>
    <col min="3" max="3" width="28.7109375" style="1" customWidth="1"/>
    <col min="4" max="4" width="20.7109375" style="1" customWidth="1"/>
    <col min="5" max="9" width="14.7109375" style="1" customWidth="1"/>
    <col min="10" max="10" width="18.7109375" style="1" customWidth="1"/>
  </cols>
  <sheetData>
    <row r="1" spans="1:14" ht="13.5" thickBot="1"/>
    <row r="2" spans="1:14" ht="60" customHeight="1" thickTop="1">
      <c r="B2" s="102" t="s">
        <v>0</v>
      </c>
      <c r="C2" s="103"/>
      <c r="D2" s="103"/>
      <c r="E2" s="103"/>
      <c r="F2" s="103"/>
      <c r="G2" s="103"/>
      <c r="H2" s="103"/>
      <c r="I2" s="104"/>
      <c r="J2" s="105"/>
    </row>
    <row r="3" spans="1:14" ht="39.950000000000003" customHeight="1">
      <c r="B3" s="96"/>
      <c r="C3" s="106"/>
      <c r="D3" s="106"/>
      <c r="E3" s="107" t="s">
        <v>1</v>
      </c>
      <c r="F3" s="107"/>
      <c r="G3" s="107"/>
      <c r="H3" s="107"/>
      <c r="I3" s="107"/>
      <c r="J3" s="108"/>
    </row>
    <row r="4" spans="1:14" ht="50.1" customHeight="1">
      <c r="B4" s="8" t="s">
        <v>2</v>
      </c>
      <c r="C4" s="9"/>
      <c r="D4" s="100"/>
      <c r="E4" s="10"/>
      <c r="F4" s="11"/>
      <c r="G4" s="12"/>
      <c r="H4" s="13"/>
      <c r="I4" s="13"/>
      <c r="J4" s="14"/>
      <c r="M4" s="6"/>
    </row>
    <row r="5" spans="1:14" ht="35.1" customHeight="1">
      <c r="B5" s="15" t="s">
        <v>3</v>
      </c>
      <c r="C5" s="109"/>
      <c r="D5" s="109"/>
      <c r="E5" s="101" t="s">
        <v>4</v>
      </c>
      <c r="F5" s="110" t="s">
        <v>5</v>
      </c>
      <c r="G5" s="110"/>
      <c r="H5" s="110"/>
      <c r="I5" s="110"/>
      <c r="J5" s="111"/>
    </row>
    <row r="6" spans="1:14" ht="35.1" customHeight="1">
      <c r="B6" s="15" t="s">
        <v>6</v>
      </c>
      <c r="C6" s="109"/>
      <c r="D6" s="109"/>
      <c r="E6" s="101" t="s">
        <v>7</v>
      </c>
      <c r="F6" s="110" t="s">
        <v>8</v>
      </c>
      <c r="G6" s="110"/>
      <c r="H6" s="110"/>
      <c r="I6" s="110"/>
      <c r="J6" s="111"/>
    </row>
    <row r="7" spans="1:14" ht="35.1" customHeight="1">
      <c r="B7" s="15" t="s">
        <v>9</v>
      </c>
      <c r="C7" s="109"/>
      <c r="D7" s="109"/>
      <c r="E7" s="101" t="s">
        <v>10</v>
      </c>
      <c r="F7" s="110" t="s">
        <v>11</v>
      </c>
      <c r="G7" s="110"/>
      <c r="H7" s="110"/>
      <c r="I7" s="110"/>
      <c r="J7" s="111"/>
    </row>
    <row r="8" spans="1:14" ht="35.1" customHeight="1">
      <c r="B8" s="15" t="s">
        <v>12</v>
      </c>
      <c r="C8" s="109"/>
      <c r="D8" s="109"/>
      <c r="E8" s="101" t="s">
        <v>13</v>
      </c>
      <c r="F8" s="110" t="s">
        <v>14</v>
      </c>
      <c r="G8" s="110"/>
      <c r="H8" s="110"/>
      <c r="I8" s="110"/>
      <c r="J8" s="111"/>
    </row>
    <row r="9" spans="1:14" ht="35.1" customHeight="1">
      <c r="B9" s="15" t="s">
        <v>15</v>
      </c>
      <c r="C9" s="109"/>
      <c r="D9" s="109"/>
      <c r="E9" s="87" t="s">
        <v>16</v>
      </c>
      <c r="F9" s="110" t="s">
        <v>17</v>
      </c>
      <c r="G9" s="110"/>
      <c r="H9" s="110"/>
      <c r="I9" s="110"/>
      <c r="J9" s="111"/>
    </row>
    <row r="10" spans="1:14" ht="30" customHeight="1">
      <c r="B10" s="16"/>
      <c r="C10" s="114"/>
      <c r="D10" s="114"/>
      <c r="E10" s="17"/>
      <c r="F10" s="18"/>
      <c r="G10" s="18"/>
      <c r="H10" s="18"/>
      <c r="I10" s="18"/>
      <c r="J10" s="19"/>
    </row>
    <row r="11" spans="1:14" ht="30" customHeight="1">
      <c r="B11" s="20"/>
      <c r="C11" s="21"/>
      <c r="D11" s="22"/>
      <c r="E11" s="23" t="s">
        <v>18</v>
      </c>
      <c r="F11" s="24" t="s">
        <v>19</v>
      </c>
      <c r="G11" s="25" t="s">
        <v>20</v>
      </c>
      <c r="H11" s="26">
        <v>46029</v>
      </c>
      <c r="I11" s="27"/>
      <c r="J11" s="28"/>
      <c r="N11" s="5"/>
    </row>
    <row r="12" spans="1:14" ht="27.95" customHeight="1">
      <c r="B12" s="29"/>
      <c r="C12" s="30" t="s">
        <v>21</v>
      </c>
      <c r="D12" s="31"/>
      <c r="E12" s="32" t="s">
        <v>22</v>
      </c>
      <c r="F12" s="33" t="s">
        <v>23</v>
      </c>
      <c r="G12" s="33" t="s">
        <v>24</v>
      </c>
      <c r="H12" s="33" t="s">
        <v>25</v>
      </c>
      <c r="I12" s="34" t="s">
        <v>26</v>
      </c>
      <c r="J12" s="35" t="s">
        <v>27</v>
      </c>
    </row>
    <row r="13" spans="1:14" ht="27.95" customHeight="1">
      <c r="B13" s="36" t="s">
        <v>28</v>
      </c>
      <c r="C13" s="37"/>
      <c r="D13" s="38"/>
      <c r="E13" s="39">
        <v>1</v>
      </c>
      <c r="F13" s="40">
        <v>60</v>
      </c>
      <c r="G13" s="41"/>
      <c r="H13" s="41"/>
      <c r="I13" s="42"/>
      <c r="J13" s="86">
        <f>IF(I13&gt;0,I13*F13,E13*F13)</f>
        <v>60</v>
      </c>
    </row>
    <row r="14" spans="1:14" ht="27.95" customHeight="1">
      <c r="A14" s="2"/>
      <c r="B14" s="36" t="s">
        <v>29</v>
      </c>
      <c r="C14" s="37"/>
      <c r="D14" s="38"/>
      <c r="E14" s="39">
        <v>1</v>
      </c>
      <c r="F14" s="40">
        <v>4.2</v>
      </c>
      <c r="G14" s="41">
        <v>1500</v>
      </c>
      <c r="H14" s="41"/>
      <c r="I14" s="42">
        <f t="shared" ref="I14:I38" si="0">IF(H14="",E14*(G14/1000),E14*((G14*H14)/1000000))</f>
        <v>1.5</v>
      </c>
      <c r="J14" s="86">
        <f t="shared" ref="J14:J38" si="1">IF(I14&gt;0,I14*F14,E14*F14)</f>
        <v>6.3000000000000007</v>
      </c>
    </row>
    <row r="15" spans="1:14" ht="27.95" customHeight="1">
      <c r="A15" s="2"/>
      <c r="B15" s="36"/>
      <c r="C15" s="37"/>
      <c r="D15" s="38"/>
      <c r="E15" s="39"/>
      <c r="F15" s="40"/>
      <c r="G15" s="41"/>
      <c r="H15" s="41"/>
      <c r="I15" s="42"/>
      <c r="J15" s="86">
        <f t="shared" si="1"/>
        <v>0</v>
      </c>
    </row>
    <row r="16" spans="1:14" ht="27.95" customHeight="1">
      <c r="A16" s="2"/>
      <c r="B16" s="36"/>
      <c r="C16" s="37"/>
      <c r="D16" s="38"/>
      <c r="E16" s="39"/>
      <c r="F16" s="40"/>
      <c r="G16" s="41"/>
      <c r="H16" s="41"/>
      <c r="I16" s="42">
        <f t="shared" si="0"/>
        <v>0</v>
      </c>
      <c r="J16" s="86">
        <f t="shared" si="1"/>
        <v>0</v>
      </c>
    </row>
    <row r="17" spans="1:17" ht="27.95" customHeight="1">
      <c r="A17" s="2"/>
      <c r="B17" s="36"/>
      <c r="C17" s="37"/>
      <c r="D17" s="38"/>
      <c r="E17" s="39"/>
      <c r="F17" s="40"/>
      <c r="G17" s="41"/>
      <c r="H17" s="41"/>
      <c r="I17" s="42">
        <f t="shared" si="0"/>
        <v>0</v>
      </c>
      <c r="J17" s="86">
        <f t="shared" si="1"/>
        <v>0</v>
      </c>
    </row>
    <row r="18" spans="1:17" ht="27.95" customHeight="1">
      <c r="A18" s="2"/>
      <c r="B18" s="36"/>
      <c r="C18" s="37"/>
      <c r="D18" s="38"/>
      <c r="E18" s="39"/>
      <c r="F18" s="40"/>
      <c r="G18" s="41"/>
      <c r="H18" s="41"/>
      <c r="I18" s="42">
        <f t="shared" si="0"/>
        <v>0</v>
      </c>
      <c r="J18" s="86">
        <f t="shared" si="1"/>
        <v>0</v>
      </c>
    </row>
    <row r="19" spans="1:17" ht="27.95" customHeight="1">
      <c r="A19" s="2"/>
      <c r="B19" s="36"/>
      <c r="C19" s="37"/>
      <c r="D19" s="38"/>
      <c r="E19" s="39"/>
      <c r="F19" s="40"/>
      <c r="G19" s="41"/>
      <c r="H19" s="41"/>
      <c r="I19" s="42">
        <f t="shared" si="0"/>
        <v>0</v>
      </c>
      <c r="J19" s="86">
        <f t="shared" si="1"/>
        <v>0</v>
      </c>
    </row>
    <row r="20" spans="1:17" ht="27.95" customHeight="1">
      <c r="A20" s="2"/>
      <c r="B20" s="36"/>
      <c r="C20" s="37"/>
      <c r="D20" s="38"/>
      <c r="E20" s="39"/>
      <c r="F20" s="40"/>
      <c r="G20" s="41"/>
      <c r="H20" s="41"/>
      <c r="I20" s="42">
        <f t="shared" si="0"/>
        <v>0</v>
      </c>
      <c r="J20" s="86">
        <f t="shared" si="1"/>
        <v>0</v>
      </c>
      <c r="Q20" s="7"/>
    </row>
    <row r="21" spans="1:17" ht="27.95" customHeight="1">
      <c r="A21" s="2"/>
      <c r="B21" s="36"/>
      <c r="C21" s="37"/>
      <c r="D21" s="38"/>
      <c r="E21" s="39"/>
      <c r="F21" s="40"/>
      <c r="G21" s="41"/>
      <c r="H21" s="41"/>
      <c r="I21" s="42">
        <f t="shared" si="0"/>
        <v>0</v>
      </c>
      <c r="J21" s="86">
        <f t="shared" si="1"/>
        <v>0</v>
      </c>
    </row>
    <row r="22" spans="1:17" ht="27.95" customHeight="1">
      <c r="A22" s="2"/>
      <c r="B22" s="36"/>
      <c r="C22" s="37"/>
      <c r="D22" s="38"/>
      <c r="E22" s="39"/>
      <c r="F22" s="40"/>
      <c r="G22" s="41"/>
      <c r="H22" s="41"/>
      <c r="I22" s="42">
        <f t="shared" si="0"/>
        <v>0</v>
      </c>
      <c r="J22" s="86">
        <f t="shared" si="1"/>
        <v>0</v>
      </c>
    </row>
    <row r="23" spans="1:17" ht="27.95" customHeight="1">
      <c r="A23" s="2"/>
      <c r="B23" s="36"/>
      <c r="C23" s="37"/>
      <c r="D23" s="38"/>
      <c r="E23" s="39"/>
      <c r="F23" s="40"/>
      <c r="G23" s="41"/>
      <c r="H23" s="41"/>
      <c r="I23" s="42">
        <f t="shared" si="0"/>
        <v>0</v>
      </c>
      <c r="J23" s="86">
        <f t="shared" si="1"/>
        <v>0</v>
      </c>
    </row>
    <row r="24" spans="1:17" ht="27.95" customHeight="1">
      <c r="A24" s="2"/>
      <c r="B24" s="36"/>
      <c r="C24" s="37"/>
      <c r="D24" s="38"/>
      <c r="E24" s="39"/>
      <c r="F24" s="40"/>
      <c r="G24" s="41"/>
      <c r="H24" s="41"/>
      <c r="I24" s="42">
        <f t="shared" si="0"/>
        <v>0</v>
      </c>
      <c r="J24" s="86">
        <f t="shared" si="1"/>
        <v>0</v>
      </c>
    </row>
    <row r="25" spans="1:17" ht="27.95" customHeight="1">
      <c r="A25" s="2"/>
      <c r="B25" s="36"/>
      <c r="C25" s="37"/>
      <c r="D25" s="38"/>
      <c r="E25" s="39"/>
      <c r="F25" s="40"/>
      <c r="G25" s="41"/>
      <c r="H25" s="41"/>
      <c r="I25" s="42">
        <f t="shared" si="0"/>
        <v>0</v>
      </c>
      <c r="J25" s="86">
        <f t="shared" si="1"/>
        <v>0</v>
      </c>
    </row>
    <row r="26" spans="1:17" ht="27.95" customHeight="1">
      <c r="A26" s="2"/>
      <c r="B26" s="36"/>
      <c r="C26" s="37"/>
      <c r="D26" s="38"/>
      <c r="E26" s="39"/>
      <c r="F26" s="40"/>
      <c r="G26" s="41"/>
      <c r="H26" s="41"/>
      <c r="I26" s="42">
        <f t="shared" si="0"/>
        <v>0</v>
      </c>
      <c r="J26" s="86">
        <f t="shared" si="1"/>
        <v>0</v>
      </c>
    </row>
    <row r="27" spans="1:17" ht="27.95" customHeight="1">
      <c r="A27" s="2"/>
      <c r="B27" s="36"/>
      <c r="C27" s="37"/>
      <c r="D27" s="38"/>
      <c r="E27" s="39"/>
      <c r="F27" s="40"/>
      <c r="G27" s="41"/>
      <c r="H27" s="41"/>
      <c r="I27" s="42">
        <f t="shared" si="0"/>
        <v>0</v>
      </c>
      <c r="J27" s="86">
        <f t="shared" si="1"/>
        <v>0</v>
      </c>
    </row>
    <row r="28" spans="1:17" ht="27.95" customHeight="1">
      <c r="A28" s="2"/>
      <c r="B28" s="36"/>
      <c r="C28" s="37"/>
      <c r="D28" s="38"/>
      <c r="E28" s="39"/>
      <c r="F28" s="40"/>
      <c r="G28" s="41"/>
      <c r="H28" s="41"/>
      <c r="I28" s="42">
        <f t="shared" si="0"/>
        <v>0</v>
      </c>
      <c r="J28" s="86">
        <f t="shared" si="1"/>
        <v>0</v>
      </c>
    </row>
    <row r="29" spans="1:17" ht="27.95" customHeight="1">
      <c r="A29" s="2"/>
      <c r="B29" s="36"/>
      <c r="C29" s="37"/>
      <c r="D29" s="38"/>
      <c r="E29" s="39"/>
      <c r="F29" s="40"/>
      <c r="G29" s="41"/>
      <c r="H29" s="41"/>
      <c r="I29" s="42">
        <f t="shared" si="0"/>
        <v>0</v>
      </c>
      <c r="J29" s="86">
        <f t="shared" si="1"/>
        <v>0</v>
      </c>
      <c r="L29" s="5"/>
    </row>
    <row r="30" spans="1:17" ht="27.95" customHeight="1">
      <c r="A30" s="2"/>
      <c r="B30" s="36"/>
      <c r="C30" s="37"/>
      <c r="D30" s="38"/>
      <c r="E30" s="39"/>
      <c r="F30" s="40"/>
      <c r="G30" s="41"/>
      <c r="H30" s="41"/>
      <c r="I30" s="42">
        <f t="shared" si="0"/>
        <v>0</v>
      </c>
      <c r="J30" s="86">
        <f t="shared" si="1"/>
        <v>0</v>
      </c>
    </row>
    <row r="31" spans="1:17" ht="27.95" customHeight="1">
      <c r="A31" s="2"/>
      <c r="B31" s="36"/>
      <c r="C31" s="37"/>
      <c r="D31" s="38"/>
      <c r="E31" s="39"/>
      <c r="F31" s="40"/>
      <c r="G31" s="41"/>
      <c r="H31" s="41"/>
      <c r="I31" s="42">
        <f t="shared" si="0"/>
        <v>0</v>
      </c>
      <c r="J31" s="86">
        <f t="shared" si="1"/>
        <v>0</v>
      </c>
    </row>
    <row r="32" spans="1:17" ht="27.95" customHeight="1">
      <c r="A32" s="2"/>
      <c r="B32" s="36"/>
      <c r="C32" s="37"/>
      <c r="D32" s="38"/>
      <c r="E32" s="39"/>
      <c r="F32" s="40"/>
      <c r="G32" s="41"/>
      <c r="H32" s="41"/>
      <c r="I32" s="42">
        <f t="shared" si="0"/>
        <v>0</v>
      </c>
      <c r="J32" s="86">
        <f t="shared" si="1"/>
        <v>0</v>
      </c>
    </row>
    <row r="33" spans="1:10" ht="27.95" customHeight="1">
      <c r="A33" s="2"/>
      <c r="B33" s="36"/>
      <c r="C33" s="37"/>
      <c r="D33" s="38"/>
      <c r="E33" s="39"/>
      <c r="F33" s="40"/>
      <c r="G33" s="41"/>
      <c r="H33" s="41"/>
      <c r="I33" s="42">
        <f t="shared" si="0"/>
        <v>0</v>
      </c>
      <c r="J33" s="86">
        <f t="shared" si="1"/>
        <v>0</v>
      </c>
    </row>
    <row r="34" spans="1:10" ht="27.95" customHeight="1">
      <c r="A34" s="2"/>
      <c r="B34" s="36"/>
      <c r="C34" s="37"/>
      <c r="D34" s="38"/>
      <c r="E34" s="39"/>
      <c r="F34" s="40"/>
      <c r="G34" s="41"/>
      <c r="H34" s="41"/>
      <c r="I34" s="42">
        <f t="shared" si="0"/>
        <v>0</v>
      </c>
      <c r="J34" s="86">
        <f t="shared" si="1"/>
        <v>0</v>
      </c>
    </row>
    <row r="35" spans="1:10" ht="27.95" customHeight="1">
      <c r="A35" s="2"/>
      <c r="B35" s="36"/>
      <c r="C35" s="37"/>
      <c r="D35" s="38"/>
      <c r="E35" s="39"/>
      <c r="F35" s="40"/>
      <c r="G35" s="41"/>
      <c r="H35" s="41"/>
      <c r="I35" s="42">
        <f t="shared" si="0"/>
        <v>0</v>
      </c>
      <c r="J35" s="86">
        <f t="shared" si="1"/>
        <v>0</v>
      </c>
    </row>
    <row r="36" spans="1:10" ht="27.95" customHeight="1">
      <c r="A36" s="2"/>
      <c r="B36" s="36"/>
      <c r="C36" s="37"/>
      <c r="D36" s="38"/>
      <c r="E36" s="39"/>
      <c r="F36" s="40"/>
      <c r="G36" s="41"/>
      <c r="H36" s="41"/>
      <c r="I36" s="42">
        <f t="shared" si="0"/>
        <v>0</v>
      </c>
      <c r="J36" s="86">
        <f t="shared" si="1"/>
        <v>0</v>
      </c>
    </row>
    <row r="37" spans="1:10" ht="27.95" customHeight="1">
      <c r="A37" s="2"/>
      <c r="B37" s="43"/>
      <c r="C37" s="37"/>
      <c r="D37" s="38"/>
      <c r="E37" s="44"/>
      <c r="F37" s="40"/>
      <c r="G37" s="41"/>
      <c r="H37" s="41"/>
      <c r="I37" s="42">
        <f t="shared" si="0"/>
        <v>0</v>
      </c>
      <c r="J37" s="86">
        <f t="shared" si="1"/>
        <v>0</v>
      </c>
    </row>
    <row r="38" spans="1:10" ht="27.95" customHeight="1" thickBot="1">
      <c r="A38" s="2"/>
      <c r="B38" s="45"/>
      <c r="C38" s="46"/>
      <c r="D38" s="47"/>
      <c r="E38" s="48"/>
      <c r="F38" s="49"/>
      <c r="G38" s="50"/>
      <c r="H38" s="50"/>
      <c r="I38" s="42">
        <f t="shared" si="0"/>
        <v>0</v>
      </c>
      <c r="J38" s="86">
        <f t="shared" si="1"/>
        <v>0</v>
      </c>
    </row>
    <row r="39" spans="1:10" ht="27" customHeight="1" thickTop="1" thickBot="1">
      <c r="B39" s="51"/>
      <c r="C39" s="52"/>
      <c r="D39" s="53"/>
      <c r="E39" s="54"/>
      <c r="F39" s="55"/>
      <c r="G39" s="56" t="s">
        <v>30</v>
      </c>
      <c r="H39" s="57"/>
      <c r="I39" s="58"/>
      <c r="J39" s="59">
        <f>SUM(J13:J38)</f>
        <v>66.3</v>
      </c>
    </row>
    <row r="40" spans="1:10" ht="30" customHeight="1" thickTop="1">
      <c r="B40" s="97" t="s">
        <v>31</v>
      </c>
      <c r="C40" s="98" t="s">
        <v>32</v>
      </c>
      <c r="D40" s="54"/>
      <c r="E40" s="54"/>
      <c r="F40" s="60"/>
      <c r="G40" s="60"/>
      <c r="H40" s="60"/>
      <c r="I40" s="60"/>
      <c r="J40" s="61"/>
    </row>
    <row r="41" spans="1:10" ht="30" customHeight="1" thickBot="1">
      <c r="B41" s="99"/>
      <c r="C41" s="98"/>
      <c r="D41" s="54"/>
      <c r="E41" s="62"/>
      <c r="F41" s="112"/>
      <c r="G41" s="112"/>
      <c r="H41" s="112"/>
      <c r="I41" s="112"/>
      <c r="J41" s="113"/>
    </row>
    <row r="42" spans="1:10" ht="30" customHeight="1" thickTop="1" thickBot="1">
      <c r="A42" s="4"/>
      <c r="B42" s="63"/>
      <c r="C42" s="62"/>
      <c r="D42" s="62"/>
      <c r="E42" s="64"/>
      <c r="F42" s="88" t="s">
        <v>33</v>
      </c>
      <c r="G42" s="89">
        <v>0.21</v>
      </c>
      <c r="H42" s="90"/>
      <c r="I42" s="91"/>
      <c r="J42" s="65">
        <f>((J39*21)/100)</f>
        <v>13.923</v>
      </c>
    </row>
    <row r="43" spans="1:10" ht="30" customHeight="1" thickTop="1" thickBot="1">
      <c r="A43" s="4"/>
      <c r="B43" s="66"/>
      <c r="C43" s="64"/>
      <c r="D43" s="64"/>
      <c r="E43" s="54"/>
      <c r="F43" s="92" t="s">
        <v>34</v>
      </c>
      <c r="G43" s="93"/>
      <c r="H43" s="94"/>
      <c r="I43" s="95"/>
      <c r="J43" s="67">
        <f>(J39+J42)</f>
        <v>80.222999999999999</v>
      </c>
    </row>
    <row r="44" spans="1:10" ht="39.950000000000003" customHeight="1" thickTop="1">
      <c r="A44" s="4"/>
      <c r="B44" s="68"/>
      <c r="C44" s="69"/>
      <c r="D44" s="69"/>
      <c r="E44" s="70"/>
      <c r="F44" s="71"/>
      <c r="G44" s="71"/>
      <c r="H44" s="71"/>
      <c r="I44" s="71"/>
      <c r="J44" s="72"/>
    </row>
    <row r="45" spans="1:10" ht="30" customHeight="1">
      <c r="A45" s="4"/>
      <c r="B45" s="68"/>
      <c r="C45" s="73"/>
      <c r="D45" s="73"/>
      <c r="E45" s="70"/>
      <c r="F45" s="74"/>
      <c r="G45" s="74"/>
      <c r="H45" s="74"/>
      <c r="I45" s="74"/>
      <c r="J45" s="75"/>
    </row>
    <row r="46" spans="1:10" ht="30" customHeight="1" thickBot="1">
      <c r="A46" s="4"/>
      <c r="B46" s="76"/>
      <c r="C46" s="77"/>
      <c r="D46" s="77"/>
      <c r="E46" s="78"/>
      <c r="F46" s="79"/>
      <c r="G46" s="79"/>
      <c r="H46" s="79"/>
      <c r="I46" s="79"/>
      <c r="J46" s="80"/>
    </row>
    <row r="47" spans="1:10" ht="30" customHeight="1" thickTop="1">
      <c r="A47" s="4"/>
      <c r="B47" s="81"/>
      <c r="C47" s="82"/>
      <c r="D47" s="82"/>
      <c r="E47" s="83"/>
      <c r="F47" s="84"/>
      <c r="G47" s="84"/>
      <c r="H47" s="84"/>
      <c r="I47" s="84"/>
      <c r="J47" s="84"/>
    </row>
    <row r="48" spans="1:10" ht="15">
      <c r="A48" s="4"/>
      <c r="B48" s="81"/>
      <c r="C48" s="85"/>
      <c r="D48" s="85"/>
      <c r="E48" s="81"/>
      <c r="F48" s="83"/>
      <c r="G48" s="83"/>
      <c r="H48" s="83"/>
      <c r="I48" s="83"/>
      <c r="J48" s="83"/>
    </row>
    <row r="49" spans="1:10">
      <c r="A49" s="4"/>
      <c r="F49" s="3"/>
      <c r="G49" s="3"/>
      <c r="H49" s="3"/>
      <c r="I49" s="3"/>
      <c r="J49" s="3"/>
    </row>
    <row r="50" spans="1:10">
      <c r="A50" s="2"/>
    </row>
  </sheetData>
  <mergeCells count="15">
    <mergeCell ref="C9:D9"/>
    <mergeCell ref="F9:J9"/>
    <mergeCell ref="F41:J41"/>
    <mergeCell ref="C10:D10"/>
    <mergeCell ref="C8:D8"/>
    <mergeCell ref="C6:D6"/>
    <mergeCell ref="F6:J6"/>
    <mergeCell ref="C7:D7"/>
    <mergeCell ref="F7:J7"/>
    <mergeCell ref="F8:J8"/>
    <mergeCell ref="B2:J2"/>
    <mergeCell ref="C3:D3"/>
    <mergeCell ref="E3:J3"/>
    <mergeCell ref="C5:D5"/>
    <mergeCell ref="F5:J5"/>
  </mergeCells>
  <phoneticPr fontId="2" type="noConversion"/>
  <pageMargins left="0.25" right="0.25" top="0.75" bottom="0.75" header="0.3" footer="0.3"/>
  <pageSetup paperSize="9" scale="54" orientation="portrait" r:id="rId1"/>
  <headerFooter alignWithMargins="0"/>
  <ignoredErrors>
    <ignoredError sqref="I14 I16:I38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7D17-FC34-4E75-9ECA-4204DAF10DEE}">
  <dimension ref="A1"/>
  <sheetViews>
    <sheetView workbookViewId="0"/>
  </sheetViews>
  <sheetFormatPr defaultRowHeight="12.75"/>
  <cols>
    <col min="1" max="256" width="11.42578125" customWidth="1"/>
  </cols>
  <sheetData/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0D51-E01E-4AA2-9D74-6772FEB1A95E}">
  <dimension ref="A1"/>
  <sheetViews>
    <sheetView workbookViewId="0"/>
  </sheetViews>
  <sheetFormatPr defaultRowHeight="12.75"/>
  <cols>
    <col min="1" max="256" width="11.42578125" customWidth="1"/>
  </cols>
  <sheetData/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http://www.dacostabalboa.es</dc:creator>
  <cp:keywords/>
  <dc:description/>
  <cp:lastModifiedBy>X</cp:lastModifiedBy>
  <cp:revision/>
  <dcterms:created xsi:type="dcterms:W3CDTF">2008-02-23T17:56:13Z</dcterms:created>
  <dcterms:modified xsi:type="dcterms:W3CDTF">2026-08-20T20:17:48Z</dcterms:modified>
  <cp:category/>
  <cp:contentStatus/>
</cp:coreProperties>
</file>