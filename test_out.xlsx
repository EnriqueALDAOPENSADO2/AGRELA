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3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1</col>
      <colOff>0</colOff>
      <row>3</row>
      <rowOff>0</rowOff>
    </from>
    <ext cx="15240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Javier Lodeiros Mejide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C / Peña Oubiña Nº 23 C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Cambre C.P. 15660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32785180-Z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101</t>
        </is>
      </c>
      <c r="G11" s="27" t="inlineStr">
        <is>
          <t>Fecha</t>
        </is>
      </c>
      <c r="H11" s="26" t="inlineStr">
        <is>
          <t>20/08/2026</t>
        </is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Cajón Blanco con persiana de PVC color Blanco</t>
        </is>
      </c>
      <c r="C13" s="37" t="n"/>
      <c r="D13" s="38" t="n"/>
      <c r="E13" s="39" t="n">
        <v>2</v>
      </c>
      <c r="F13" s="40" t="n">
        <v>26.3</v>
      </c>
      <c r="G13" s="41" t="n">
        <v>1200</v>
      </c>
      <c r="H13" s="41" t="n">
        <v>1500</v>
      </c>
      <c r="I13" s="42" t="n">
        <v>1.875</v>
      </c>
      <c r="J13" s="86" t="n">
        <v>98.62</v>
      </c>
    </row>
    <row r="14" ht="27.95" customHeight="1" s="2">
      <c r="B14" s="36" t="inlineStr">
        <is>
          <t>MOTOR BLUE ROLL 9/16 L35</t>
        </is>
      </c>
      <c r="C14" s="37" t="n"/>
      <c r="D14" s="38" t="n"/>
      <c r="E14" s="39" t="n">
        <v>1</v>
      </c>
      <c r="F14" s="40" t="n">
        <v>96</v>
      </c>
      <c r="G14" s="41" t="n">
        <v>1500</v>
      </c>
      <c r="H14" s="41" t="n"/>
      <c r="I14" s="42">
        <f>IF(H14="",E14*(G14/1000),E14*((G14*H14)/1000000))</f>
        <v/>
      </c>
      <c r="J14" s="86" t="n">
        <v>96</v>
      </c>
    </row>
    <row r="15" ht="27.95" customHeight="1" s="2">
      <c r="B15" s="36" t="n"/>
      <c r="C15" s="37" t="n"/>
      <c r="D15" s="38" t="n"/>
      <c r="E15" s="39" t="n"/>
      <c r="F15" s="40" t="n"/>
      <c r="G15" s="41" t="n"/>
      <c r="H15" s="41" t="n"/>
      <c r="I15" s="42" t="n"/>
      <c r="J15" s="86">
        <f>IF(I15&gt;0,I15*F15,E15*F15)</f>
        <v/>
      </c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>
        <f>IF(H16="",E16*(G16/1000),E16*((G16*H16)/1000000))</f>
        <v/>
      </c>
      <c r="J16" s="86">
        <f>IF(I16&gt;0,I16*F16,E16*F16)</f>
        <v/>
      </c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>
        <f>IF(H17="",E17*(G17/1000),E17*((G17*H17)/1000000))</f>
        <v/>
      </c>
      <c r="J17" s="86">
        <f>IF(I17&gt;0,I17*F17,E17*F17)</f>
        <v/>
      </c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>
        <f>IF(H18="",E18*(G18/1000),E18*((G18*H18)/1000000))</f>
        <v/>
      </c>
      <c r="J18" s="86">
        <f>IF(I18&gt;0,I18*F18,E18*F18)</f>
        <v/>
      </c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>
        <f>IF(H19="",E19*(G19/1000),E19*((G19*H19)/1000000))</f>
        <v/>
      </c>
      <c r="J19" s="86">
        <f>IF(I19&gt;0,I19*F19,E19*F19)</f>
        <v/>
      </c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>
        <f>IF(H20="",E20*(G20/1000),E20*((G20*H20)/1000000))</f>
        <v/>
      </c>
      <c r="J20" s="86">
        <f>IF(I20&gt;0,I20*F20,E20*F20)</f>
        <v/>
      </c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>
        <f>IF(H21="",E21*(G21/1000),E21*((G21*H21)/1000000))</f>
        <v/>
      </c>
      <c r="J21" s="86">
        <f>IF(I21&gt;0,I21*F21,E21*F21)</f>
        <v/>
      </c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>
        <f>IF(H22="",E22*(G22/1000),E22*((G22*H22)/1000000))</f>
        <v/>
      </c>
      <c r="J22" s="86">
        <f>IF(I22&gt;0,I22*F22,E22*F22)</f>
        <v/>
      </c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>
        <f>IF(H23="",E23*(G23/1000),E23*((G23*H23)/1000000))</f>
        <v/>
      </c>
      <c r="J23" s="86">
        <f>IF(I23&gt;0,I23*F23,E23*F23)</f>
        <v/>
      </c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>
        <f>IF(H24="",E24*(G24/1000),E24*((G24*H24)/1000000))</f>
        <v/>
      </c>
      <c r="J24" s="86">
        <f>IF(I24&gt;0,I24*F24,E24*F24)</f>
        <v/>
      </c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>
        <f>IF(H25="",E25*(G25/1000),E25*((G25*H25)/1000000))</f>
        <v/>
      </c>
      <c r="J25" s="86">
        <f>IF(I25&gt;0,I25*F25,E25*F25)</f>
        <v/>
      </c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>
        <f>IF(H26="",E26*(G26/1000),E26*((G26*H26)/1000000))</f>
        <v/>
      </c>
      <c r="J26" s="86">
        <f>IF(I26&gt;0,I26*F26,E26*F26)</f>
        <v/>
      </c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>
        <f>IF(H27="",E27*(G27/1000),E27*((G27*H27)/1000000))</f>
        <v/>
      </c>
      <c r="J27" s="86">
        <f>IF(I27&gt;0,I27*F27,E27*F27)</f>
        <v/>
      </c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>
        <f>IF(H28="",E28*(G28/1000),E28*((G28*H28)/1000000))</f>
        <v/>
      </c>
      <c r="J28" s="86">
        <f>IF(I28&gt;0,I28*F28,E28*F28)</f>
        <v/>
      </c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>
        <f>IF(H29="",E29*(G29/1000),E29*((G29*H29)/1000000))</f>
        <v/>
      </c>
      <c r="J29" s="86">
        <f>IF(I29&gt;0,I29*F29,E29*F29)</f>
        <v/>
      </c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>
        <f>IF(H30="",E30*(G30/1000),E30*((G30*H30)/1000000))</f>
        <v/>
      </c>
      <c r="J30" s="86">
        <f>IF(I30&gt;0,I30*F30,E30*F30)</f>
        <v/>
      </c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>
        <f>IF(H31="",E31*(G31/1000),E31*((G31*H31)/1000000))</f>
        <v/>
      </c>
      <c r="J31" s="86">
        <f>IF(I31&gt;0,I31*F31,E31*F31)</f>
        <v/>
      </c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>
        <f>IF(H32="",E32*(G32/1000),E32*((G32*H32)/1000000))</f>
        <v/>
      </c>
      <c r="J32" s="86">
        <f>IF(I32&gt;0,I32*F32,E32*F32)</f>
        <v/>
      </c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>
        <f>IF(H33="",E33*(G33/1000),E33*((G33*H33)/1000000))</f>
        <v/>
      </c>
      <c r="J33" s="86">
        <f>IF(I33&gt;0,I33*F33,E33*F33)</f>
        <v/>
      </c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>
        <f>IF(H34="",E34*(G34/1000),E34*((G34*H34)/1000000))</f>
        <v/>
      </c>
      <c r="J34" s="86">
        <f>IF(I34&gt;0,I34*F34,E34*F34)</f>
        <v/>
      </c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>
        <f>IF(H35="",E35*(G35/1000),E35*((G35*H35)/1000000))</f>
        <v/>
      </c>
      <c r="J35" s="86">
        <f>IF(I35&gt;0,I35*F35,E35*F35)</f>
        <v/>
      </c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>
        <f>IF(H36="",E36*(G36/1000),E36*((G36*H36)/1000000))</f>
        <v/>
      </c>
      <c r="J36" s="86">
        <f>IF(I36&gt;0,I36*F36,E36*F36)</f>
        <v/>
      </c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>
        <f>IF(H37="",E37*(G37/1000),E37*((G37*H37)/1000000))</f>
        <v/>
      </c>
      <c r="J37" s="86">
        <f>IF(I37&gt;0,I37*F37,E37*F37)</f>
        <v/>
      </c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>
        <f>IF(H38="",E38*(G38/1000),E38*((G38*H38)/1000000))</f>
        <v/>
      </c>
      <c r="J38" s="86">
        <f>IF(I38&gt;0,I38*F38,E38*F38)</f>
        <v/>
      </c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Transferencia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68" t="n"/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76" t="n"/>
      <c r="C46" s="77" t="n"/>
      <c r="D46" s="77" t="n"/>
      <c r="E46" s="121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2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2" t="n"/>
      <c r="G48" s="122" t="n"/>
      <c r="H48" s="122" t="n"/>
      <c r="I48" s="122" t="n"/>
      <c r="J48" s="122" t="n"/>
    </row>
    <row r="49">
      <c r="A49" s="4" t="n"/>
      <c r="F49" s="123" t="n"/>
      <c r="G49" s="123" t="n"/>
      <c r="H49" s="123" t="n"/>
      <c r="I49" s="123" t="n"/>
      <c r="J49" s="123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2026-08-20T20:22:23Z</dcterms:modified>
  <cp:lastModifiedBy>X</cp:lastModifiedBy>
</cp:coreProperties>
</file>